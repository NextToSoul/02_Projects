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2_Projects\项目文档\excel版遥测大表\"/>
    </mc:Choice>
  </mc:AlternateContent>
  <xr:revisionPtr revIDLastSave="0" documentId="13_ncr:1_{CC84CDC4-EB66-4E19-AA10-60C59E7DF30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固定地址参数注入2" sheetId="2" r:id="rId1"/>
    <sheet name="帧格式参考(CCSD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E2" i="2"/>
  <c r="E3" i="2" l="1"/>
  <c r="F4" i="2"/>
  <c r="F5" i="2" l="1"/>
  <c r="E4" i="2"/>
  <c r="F6" i="2" l="1"/>
  <c r="E5" i="2"/>
  <c r="F7" i="2" l="1"/>
  <c r="E6" i="2"/>
  <c r="F8" i="2" l="1"/>
  <c r="E7" i="2"/>
  <c r="F9" i="2" l="1"/>
  <c r="E8" i="2"/>
  <c r="F10" i="2" l="1"/>
  <c r="E9" i="2"/>
  <c r="F11" i="2" l="1"/>
  <c r="E10" i="2"/>
  <c r="F12" i="2" l="1"/>
  <c r="E11" i="2"/>
  <c r="F13" i="2" l="1"/>
  <c r="E12" i="2"/>
  <c r="F14" i="2" l="1"/>
  <c r="E13" i="2"/>
  <c r="F15" i="2" l="1"/>
  <c r="E14" i="2"/>
  <c r="F16" i="2" l="1"/>
  <c r="E15" i="2"/>
  <c r="F17" i="2" l="1"/>
  <c r="E16" i="2"/>
  <c r="F18" i="2" l="1"/>
  <c r="E17" i="2"/>
  <c r="F19" i="2" l="1"/>
  <c r="E18" i="2"/>
  <c r="F20" i="2" l="1"/>
  <c r="E19" i="2"/>
  <c r="F21" i="2" l="1"/>
  <c r="E20" i="2"/>
  <c r="F22" i="2" l="1"/>
  <c r="E21" i="2"/>
  <c r="F23" i="2" l="1"/>
  <c r="E22" i="2"/>
  <c r="F24" i="2" l="1"/>
  <c r="E23" i="2"/>
  <c r="F25" i="2" l="1"/>
  <c r="E24" i="2"/>
  <c r="F26" i="2" l="1"/>
  <c r="E25" i="2"/>
  <c r="F27" i="2" l="1"/>
  <c r="E26" i="2"/>
  <c r="F28" i="2" l="1"/>
  <c r="E27" i="2"/>
  <c r="F29" i="2" l="1"/>
  <c r="E28" i="2"/>
  <c r="F30" i="2" l="1"/>
  <c r="E29" i="2"/>
  <c r="F31" i="2" l="1"/>
  <c r="E30" i="2"/>
  <c r="F32" i="2" l="1"/>
  <c r="E31" i="2"/>
  <c r="F33" i="2" l="1"/>
  <c r="E32" i="2"/>
  <c r="F34" i="2" l="1"/>
  <c r="E33" i="2"/>
  <c r="F35" i="2" l="1"/>
  <c r="E34" i="2"/>
  <c r="F36" i="2" l="1"/>
  <c r="E35" i="2"/>
  <c r="F37" i="2" l="1"/>
  <c r="E36" i="2"/>
  <c r="F38" i="2" l="1"/>
  <c r="E37" i="2"/>
  <c r="F39" i="2" l="1"/>
  <c r="E38" i="2"/>
  <c r="F40" i="2" l="1"/>
  <c r="E40" i="2" s="1"/>
  <c r="E39" i="2"/>
</calcChain>
</file>

<file path=xl/sharedStrings.xml><?xml version="1.0" encoding="utf-8"?>
<sst xmlns="http://schemas.openxmlformats.org/spreadsheetml/2006/main" count="203" uniqueCount="118">
  <si>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</si>
  <si>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</si>
  <si>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</si>
  <si>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</si>
  <si>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</si>
  <si>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</si>
  <si>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</si>
  <si>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标识符</t>
  </si>
  <si>
    <t>参数值</t>
    <phoneticPr fontId="1" type="noConversion"/>
  </si>
  <si>
    <t>float</t>
  </si>
  <si>
    <t>流量-电压标定斜率b（低压传感器1）</t>
  </si>
  <si>
    <t>流量-电压标定截距a（低压传感器1）</t>
  </si>
  <si>
    <t>流量-开环控制电流标定斜率b (比例阀1)</t>
  </si>
  <si>
    <t>流量-开环控制电流标定截距a (比例阀1)</t>
  </si>
  <si>
    <t>阳极电流-流量标定斜率b</t>
  </si>
  <si>
    <t>阳极电流-流量标定截距a</t>
  </si>
  <si>
    <t>励磁校正系数</t>
  </si>
  <si>
    <t>保留</t>
  </si>
  <si>
    <t>低压压传温度校正系数</t>
  </si>
  <si>
    <t>电流维持误差门限</t>
  </si>
  <si>
    <t>电压维持误差门限</t>
  </si>
  <si>
    <t>点火成功后触持电流判读误差门限</t>
  </si>
  <si>
    <t>开环阶段流量校正系数</t>
  </si>
  <si>
    <t>比例阀控制压力稳态误差系数</t>
  </si>
  <si>
    <t>压传失配阈值</t>
  </si>
  <si>
    <t>阳极电压电流关火系数</t>
  </si>
  <si>
    <t>系统总功率上限</t>
  </si>
  <si>
    <t>阴极点火电压故障电压判据</t>
  </si>
  <si>
    <t>流量控制目标值</t>
  </si>
  <si>
    <t>阳极点火成功电流有效值</t>
  </si>
  <si>
    <t>阴极加热电流0.8A</t>
  </si>
  <si>
    <t>阴极加热电流1.5A</t>
  </si>
  <si>
    <t>阴极加热电流2.0A</t>
  </si>
  <si>
    <t>阴极加热电流2.5A</t>
  </si>
  <si>
    <t>阴极加热电流2.9A</t>
  </si>
  <si>
    <t>阴极加热电流3.2A</t>
  </si>
  <si>
    <t>阴极加热电流3.5A</t>
  </si>
  <si>
    <t>阳极稳态电压</t>
  </si>
  <si>
    <t>阳极暂态电压</t>
  </si>
  <si>
    <t>励磁电流</t>
  </si>
  <si>
    <t>阴极冲洗流量值</t>
  </si>
  <si>
    <t>比例阀开阀控制电流</t>
  </si>
  <si>
    <t>比例阀控制限幅电流</t>
  </si>
  <si>
    <t>阳极电流上限值</t>
  </si>
  <si>
    <t>目标流量控制误差值</t>
  </si>
  <si>
    <t>励磁电流下限值</t>
  </si>
  <si>
    <t>触持电流</t>
  </si>
  <si>
    <t>TCT4058</t>
    <phoneticPr fontId="1" type="noConversion"/>
  </si>
  <si>
    <t>TCT4059</t>
  </si>
  <si>
    <t>TCT4060</t>
  </si>
  <si>
    <t>TCT4061</t>
  </si>
  <si>
    <t>TCT4062</t>
  </si>
  <si>
    <t>TCT4063</t>
  </si>
  <si>
    <t>TCT4064</t>
  </si>
  <si>
    <t>TCT4065</t>
  </si>
  <si>
    <t>TCT4066</t>
  </si>
  <si>
    <t>TCT4067</t>
  </si>
  <si>
    <t>TCT4068</t>
  </si>
  <si>
    <t>TCT4069</t>
  </si>
  <si>
    <t>TCT4070</t>
  </si>
  <si>
    <t>TCT4071</t>
  </si>
  <si>
    <t>TCT4072</t>
  </si>
  <si>
    <t>TCT4073</t>
  </si>
  <si>
    <t>TCT4074</t>
  </si>
  <si>
    <t>TCT4075</t>
  </si>
  <si>
    <t>TCT4076</t>
  </si>
  <si>
    <t>TCT4077</t>
  </si>
  <si>
    <t>TCT4078</t>
  </si>
  <si>
    <t>TCT4079</t>
  </si>
  <si>
    <t>TCT4080</t>
  </si>
  <si>
    <t>TCT4081</t>
  </si>
  <si>
    <t>TCT4082</t>
  </si>
  <si>
    <t>TCT4083</t>
  </si>
  <si>
    <t>TCT4084</t>
  </si>
  <si>
    <t>TCT4085</t>
  </si>
  <si>
    <t>TCT4086</t>
  </si>
  <si>
    <t>TCT4087</t>
  </si>
  <si>
    <t>TCT4088</t>
  </si>
  <si>
    <t>TCT4089</t>
  </si>
  <si>
    <t>TCT4090</t>
  </si>
  <si>
    <t>TCT4091</t>
  </si>
  <si>
    <t>TCT4092</t>
  </si>
  <si>
    <t>TCT4093</t>
  </si>
  <si>
    <t>TCT4094</t>
  </si>
  <si>
    <t>TCT4095</t>
  </si>
  <si>
    <t>TCT4096</t>
  </si>
  <si>
    <t>字节序
endian</t>
  </si>
  <si>
    <t>小数位数
decimal_places</t>
  </si>
  <si>
    <t>单位
unit</t>
  </si>
  <si>
    <t>big</t>
    <phoneticPr fontId="1" type="noConversion"/>
  </si>
  <si>
    <t>指令码</t>
    <phoneticPr fontId="1" type="noConversion"/>
  </si>
  <si>
    <t>层级</t>
  </si>
  <si>
    <t>区域</t>
  </si>
  <si>
    <t>字段</t>
  </si>
  <si>
    <t>位宽(bit)</t>
  </si>
  <si>
    <t>说明</t>
  </si>
  <si>
    <t>数据包</t>
  </si>
  <si>
    <t>包主导头</t>
  </si>
  <si>
    <t>16</t>
  </si>
  <si>
    <t>0xEB90</t>
  </si>
  <si>
    <t>版本+类型+副导头+APID</t>
  </si>
  <si>
    <t>0x0520</t>
  </si>
  <si>
    <t>数据域长度</t>
  </si>
  <si>
    <t>数据域字节数-1</t>
  </si>
  <si>
    <t>包数据域</t>
  </si>
  <si>
    <t>校验和</t>
  </si>
  <si>
    <t>固定值</t>
    <phoneticPr fontId="1" type="noConversion"/>
  </si>
  <si>
    <t>阴极点火时长上限</t>
    <phoneticPr fontId="1" type="noConversion"/>
  </si>
  <si>
    <t>包主导头（不含标识符）和数据域单字节累加求和取反，取低16</t>
    <phoneticPr fontId="1" type="noConversion"/>
  </si>
  <si>
    <t>分组标志</t>
    <phoneticPr fontId="1" type="noConversion"/>
  </si>
  <si>
    <t>源包序列号</t>
    <phoneticPr fontId="1" type="noConversion"/>
  </si>
  <si>
    <t>0b11</t>
    <phoneticPr fontId="1" type="noConversion"/>
  </si>
  <si>
    <t>0x00~0x3FFF</t>
    <phoneticPr fontId="1" type="noConversion"/>
  </si>
  <si>
    <t>0x0001~0x00FF</t>
    <phoneticPr fontId="1" type="noConversion"/>
  </si>
  <si>
    <t>14-bit循环累加</t>
    <phoneticPr fontId="1" type="noConversion"/>
  </si>
  <si>
    <t>初始值</t>
    <phoneticPr fontId="1" type="noConversion"/>
  </si>
  <si>
    <t>取值范围</t>
    <phoneticPr fontId="1" type="noConversion"/>
  </si>
  <si>
    <t>0x03FE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</si>
</sst>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4AD1-3C73-47CA-A849-E82308345D6F}">
  <dimension ref="A1:K40"/>
  <sheetViews>
    <sheetView workbookViewId="0">
      <selection activeCell="K13" sqref="K13"/>
    </sheetView>
  </sheetViews>
  <sheetFormatPr defaultRowHeight="14" x14ac:dyDescent="0.3"/>
  <cols>
    <col min="3" max="3" width="34.9140625" bestFit="1" customWidth="1"/>
  </cols>
  <sheetData>
    <row r="1" spans="1:11" ht="58" x14ac:dyDescent="0.3">
      <c r="A1" s="1" t="s">
        <v>0</v>
      </c>
      <c r="B1" s="1" t="s">
        <v>1</v>
      </c>
      <c r="C1" s="1" t="s">
        <v>2</v>
      </c>
      <c r="D1" s="2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86</v>
      </c>
      <c r="J1" s="1" t="s">
        <v>87</v>
      </c>
      <c r="K1" s="1" t="s">
        <v>88</v>
      </c>
    </row>
    <row r="2" spans="1:11" x14ac:dyDescent="0.3">
      <c r="A2">
        <v>1</v>
      </c>
      <c r="B2" t="s">
        <v>47</v>
      </c>
      <c r="C2" s="3" t="s">
        <v>10</v>
      </c>
      <c r="D2" s="3">
        <v>0.20159376000000001</v>
      </c>
      <c r="E2">
        <f>INT(F2/8)-8</f>
        <v>2</v>
      </c>
      <c r="F2">
        <v>80</v>
      </c>
      <c r="G2">
        <v>32</v>
      </c>
      <c r="H2" s="3" t="s">
        <v>9</v>
      </c>
      <c r="I2" t="s">
        <v>89</v>
      </c>
      <c r="J2">
        <v>3</v>
      </c>
    </row>
    <row r="3" spans="1:11" x14ac:dyDescent="0.3">
      <c r="A3">
        <v>2</v>
      </c>
      <c r="B3" t="s">
        <v>48</v>
      </c>
      <c r="C3" s="3" t="s">
        <v>11</v>
      </c>
      <c r="D3" s="3">
        <v>0.27821319999999999</v>
      </c>
      <c r="E3">
        <f t="shared" ref="E3:E40" si="0">INT(F3/8)-8</f>
        <v>6</v>
      </c>
      <c r="F3">
        <f>F2+G2</f>
        <v>112</v>
      </c>
      <c r="G3">
        <v>32</v>
      </c>
      <c r="H3" s="3" t="s">
        <v>9</v>
      </c>
      <c r="I3" t="s">
        <v>89</v>
      </c>
      <c r="J3">
        <v>3</v>
      </c>
    </row>
    <row r="4" spans="1:11" x14ac:dyDescent="0.3">
      <c r="A4">
        <v>3</v>
      </c>
      <c r="B4" t="s">
        <v>49</v>
      </c>
      <c r="C4" s="3" t="s">
        <v>12</v>
      </c>
      <c r="D4" s="3">
        <v>1.3423967000000001</v>
      </c>
      <c r="E4">
        <f t="shared" si="0"/>
        <v>10</v>
      </c>
      <c r="F4">
        <f t="shared" ref="F4:F40" si="1">F3+G3</f>
        <v>144</v>
      </c>
      <c r="G4">
        <v>32</v>
      </c>
      <c r="H4" s="3" t="s">
        <v>9</v>
      </c>
      <c r="I4" t="s">
        <v>89</v>
      </c>
      <c r="J4">
        <v>3</v>
      </c>
    </row>
    <row r="5" spans="1:11" x14ac:dyDescent="0.3">
      <c r="A5">
        <v>4</v>
      </c>
      <c r="B5" t="s">
        <v>50</v>
      </c>
      <c r="C5" s="3" t="s">
        <v>13</v>
      </c>
      <c r="D5" s="3">
        <v>41.063569999999999</v>
      </c>
      <c r="E5">
        <f t="shared" si="0"/>
        <v>14</v>
      </c>
      <c r="F5">
        <f t="shared" si="1"/>
        <v>176</v>
      </c>
      <c r="G5">
        <v>32</v>
      </c>
      <c r="H5" s="3" t="s">
        <v>9</v>
      </c>
      <c r="I5" t="s">
        <v>89</v>
      </c>
      <c r="J5">
        <v>3</v>
      </c>
    </row>
    <row r="6" spans="1:11" x14ac:dyDescent="0.3">
      <c r="A6">
        <v>5</v>
      </c>
      <c r="B6" t="s">
        <v>51</v>
      </c>
      <c r="C6" s="3" t="s">
        <v>14</v>
      </c>
      <c r="D6" s="3">
        <v>0.87567099999999998</v>
      </c>
      <c r="E6">
        <f t="shared" si="0"/>
        <v>18</v>
      </c>
      <c r="F6">
        <f t="shared" si="1"/>
        <v>208</v>
      </c>
      <c r="G6">
        <v>32</v>
      </c>
      <c r="H6" s="3" t="s">
        <v>9</v>
      </c>
      <c r="I6" t="s">
        <v>89</v>
      </c>
      <c r="J6">
        <v>3</v>
      </c>
    </row>
    <row r="7" spans="1:11" x14ac:dyDescent="0.3">
      <c r="A7">
        <v>6</v>
      </c>
      <c r="B7" t="s">
        <v>52</v>
      </c>
      <c r="C7" s="3" t="s">
        <v>15</v>
      </c>
      <c r="D7" s="3">
        <v>0.13674500000000001</v>
      </c>
      <c r="E7">
        <f t="shared" si="0"/>
        <v>22</v>
      </c>
      <c r="F7">
        <f t="shared" si="1"/>
        <v>240</v>
      </c>
      <c r="G7">
        <v>32</v>
      </c>
      <c r="H7" s="3" t="s">
        <v>9</v>
      </c>
      <c r="I7" t="s">
        <v>89</v>
      </c>
      <c r="J7">
        <v>3</v>
      </c>
    </row>
    <row r="8" spans="1:11" x14ac:dyDescent="0.3">
      <c r="A8">
        <v>7</v>
      </c>
      <c r="B8" t="s">
        <v>53</v>
      </c>
      <c r="C8" s="3" t="s">
        <v>16</v>
      </c>
      <c r="D8" s="3">
        <v>1</v>
      </c>
      <c r="E8">
        <f t="shared" si="0"/>
        <v>26</v>
      </c>
      <c r="F8">
        <f t="shared" si="1"/>
        <v>272</v>
      </c>
      <c r="G8">
        <v>32</v>
      </c>
      <c r="H8" s="3" t="s">
        <v>9</v>
      </c>
      <c r="I8" t="s">
        <v>89</v>
      </c>
      <c r="J8">
        <v>3</v>
      </c>
    </row>
    <row r="9" spans="1:11" x14ac:dyDescent="0.3">
      <c r="A9">
        <v>8</v>
      </c>
      <c r="B9" t="s">
        <v>54</v>
      </c>
      <c r="C9" s="3" t="s">
        <v>17</v>
      </c>
      <c r="D9" s="3">
        <v>-0.96063279999999995</v>
      </c>
      <c r="E9">
        <f t="shared" si="0"/>
        <v>30</v>
      </c>
      <c r="F9">
        <f t="shared" si="1"/>
        <v>304</v>
      </c>
      <c r="G9">
        <v>32</v>
      </c>
      <c r="H9" s="3" t="s">
        <v>9</v>
      </c>
      <c r="I9" t="s">
        <v>89</v>
      </c>
      <c r="J9">
        <v>3</v>
      </c>
    </row>
    <row r="10" spans="1:11" x14ac:dyDescent="0.3">
      <c r="A10">
        <v>9</v>
      </c>
      <c r="B10" t="s">
        <v>55</v>
      </c>
      <c r="C10" s="3" t="s">
        <v>17</v>
      </c>
      <c r="D10" s="3">
        <v>121.86794</v>
      </c>
      <c r="E10">
        <f t="shared" si="0"/>
        <v>34</v>
      </c>
      <c r="F10">
        <f t="shared" si="1"/>
        <v>336</v>
      </c>
      <c r="G10">
        <v>32</v>
      </c>
      <c r="H10" s="3" t="s">
        <v>9</v>
      </c>
      <c r="I10" t="s">
        <v>89</v>
      </c>
      <c r="J10">
        <v>3</v>
      </c>
    </row>
    <row r="11" spans="1:11" x14ac:dyDescent="0.3">
      <c r="A11">
        <v>10</v>
      </c>
      <c r="B11" t="s">
        <v>56</v>
      </c>
      <c r="C11" s="3" t="s">
        <v>17</v>
      </c>
      <c r="D11" s="3">
        <v>1476.6822999999999</v>
      </c>
      <c r="E11">
        <f t="shared" si="0"/>
        <v>38</v>
      </c>
      <c r="F11">
        <f t="shared" si="1"/>
        <v>368</v>
      </c>
      <c r="G11">
        <v>32</v>
      </c>
      <c r="H11" s="3" t="s">
        <v>9</v>
      </c>
      <c r="I11" t="s">
        <v>89</v>
      </c>
      <c r="J11">
        <v>3</v>
      </c>
    </row>
    <row r="12" spans="1:11" x14ac:dyDescent="0.3">
      <c r="A12">
        <v>11</v>
      </c>
      <c r="B12" t="s">
        <v>57</v>
      </c>
      <c r="C12" s="3" t="s">
        <v>18</v>
      </c>
      <c r="D12" s="3">
        <v>1</v>
      </c>
      <c r="E12">
        <f t="shared" si="0"/>
        <v>42</v>
      </c>
      <c r="F12">
        <f t="shared" si="1"/>
        <v>400</v>
      </c>
      <c r="G12">
        <v>32</v>
      </c>
      <c r="H12" s="3" t="s">
        <v>9</v>
      </c>
      <c r="I12" t="s">
        <v>89</v>
      </c>
      <c r="J12">
        <v>3</v>
      </c>
    </row>
    <row r="13" spans="1:11" x14ac:dyDescent="0.3">
      <c r="A13">
        <v>12</v>
      </c>
      <c r="B13" t="s">
        <v>58</v>
      </c>
      <c r="C13" s="3" t="s">
        <v>19</v>
      </c>
      <c r="D13" s="3">
        <v>1</v>
      </c>
      <c r="E13">
        <f t="shared" si="0"/>
        <v>46</v>
      </c>
      <c r="F13">
        <f t="shared" si="1"/>
        <v>432</v>
      </c>
      <c r="G13">
        <v>32</v>
      </c>
      <c r="H13" s="3" t="s">
        <v>9</v>
      </c>
      <c r="I13" t="s">
        <v>89</v>
      </c>
      <c r="J13">
        <v>3</v>
      </c>
    </row>
    <row r="14" spans="1:11" x14ac:dyDescent="0.3">
      <c r="A14">
        <v>13</v>
      </c>
      <c r="B14" t="s">
        <v>59</v>
      </c>
      <c r="C14" s="3" t="s">
        <v>20</v>
      </c>
      <c r="D14" s="3">
        <v>1</v>
      </c>
      <c r="E14">
        <f t="shared" si="0"/>
        <v>50</v>
      </c>
      <c r="F14">
        <f t="shared" si="1"/>
        <v>464</v>
      </c>
      <c r="G14">
        <v>32</v>
      </c>
      <c r="H14" s="3" t="s">
        <v>9</v>
      </c>
      <c r="I14" t="s">
        <v>89</v>
      </c>
      <c r="J14">
        <v>3</v>
      </c>
    </row>
    <row r="15" spans="1:11" x14ac:dyDescent="0.3">
      <c r="A15">
        <v>14</v>
      </c>
      <c r="B15" t="s">
        <v>60</v>
      </c>
      <c r="C15" s="3" t="s">
        <v>21</v>
      </c>
      <c r="D15" s="3">
        <v>0.1</v>
      </c>
      <c r="E15">
        <f t="shared" si="0"/>
        <v>54</v>
      </c>
      <c r="F15">
        <f t="shared" si="1"/>
        <v>496</v>
      </c>
      <c r="G15">
        <v>32</v>
      </c>
      <c r="H15" s="3" t="s">
        <v>9</v>
      </c>
      <c r="I15" t="s">
        <v>89</v>
      </c>
      <c r="J15">
        <v>3</v>
      </c>
    </row>
    <row r="16" spans="1:11" x14ac:dyDescent="0.3">
      <c r="A16">
        <v>15</v>
      </c>
      <c r="B16" t="s">
        <v>61</v>
      </c>
      <c r="C16" s="3" t="s">
        <v>22</v>
      </c>
      <c r="D16" s="3">
        <v>0.9</v>
      </c>
      <c r="E16">
        <f t="shared" si="0"/>
        <v>58</v>
      </c>
      <c r="F16">
        <f t="shared" si="1"/>
        <v>528</v>
      </c>
      <c r="G16">
        <v>32</v>
      </c>
      <c r="H16" s="3" t="s">
        <v>9</v>
      </c>
      <c r="I16" t="s">
        <v>89</v>
      </c>
      <c r="J16">
        <v>3</v>
      </c>
    </row>
    <row r="17" spans="1:10" x14ac:dyDescent="0.3">
      <c r="A17">
        <v>16</v>
      </c>
      <c r="B17" t="s">
        <v>62</v>
      </c>
      <c r="C17" s="3" t="s">
        <v>23</v>
      </c>
      <c r="D17" s="3">
        <v>1</v>
      </c>
      <c r="E17">
        <f t="shared" si="0"/>
        <v>62</v>
      </c>
      <c r="F17">
        <f t="shared" si="1"/>
        <v>560</v>
      </c>
      <c r="G17">
        <v>32</v>
      </c>
      <c r="H17" s="3" t="s">
        <v>9</v>
      </c>
      <c r="I17" t="s">
        <v>89</v>
      </c>
      <c r="J17">
        <v>3</v>
      </c>
    </row>
    <row r="18" spans="1:10" x14ac:dyDescent="0.3">
      <c r="A18">
        <v>17</v>
      </c>
      <c r="B18" t="s">
        <v>63</v>
      </c>
      <c r="C18" s="3" t="s">
        <v>24</v>
      </c>
      <c r="D18" s="3">
        <v>0.3</v>
      </c>
      <c r="E18">
        <f t="shared" si="0"/>
        <v>66</v>
      </c>
      <c r="F18">
        <f t="shared" si="1"/>
        <v>592</v>
      </c>
      <c r="G18">
        <v>32</v>
      </c>
      <c r="H18" s="3" t="s">
        <v>9</v>
      </c>
      <c r="I18" t="s">
        <v>89</v>
      </c>
      <c r="J18">
        <v>3</v>
      </c>
    </row>
    <row r="19" spans="1:10" x14ac:dyDescent="0.3">
      <c r="A19">
        <v>18</v>
      </c>
      <c r="B19" t="s">
        <v>64</v>
      </c>
      <c r="C19" s="3" t="s">
        <v>25</v>
      </c>
      <c r="D19" s="3">
        <v>0.4</v>
      </c>
      <c r="E19">
        <f t="shared" si="0"/>
        <v>70</v>
      </c>
      <c r="F19">
        <f t="shared" si="1"/>
        <v>624</v>
      </c>
      <c r="G19">
        <v>32</v>
      </c>
      <c r="H19" s="3" t="s">
        <v>9</v>
      </c>
      <c r="I19" t="s">
        <v>89</v>
      </c>
      <c r="J19">
        <v>3</v>
      </c>
    </row>
    <row r="20" spans="1:10" x14ac:dyDescent="0.3">
      <c r="A20">
        <v>19</v>
      </c>
      <c r="B20" t="s">
        <v>65</v>
      </c>
      <c r="C20" s="3" t="s">
        <v>26</v>
      </c>
      <c r="D20" s="3">
        <v>560</v>
      </c>
      <c r="E20">
        <f t="shared" si="0"/>
        <v>74</v>
      </c>
      <c r="F20">
        <f t="shared" si="1"/>
        <v>656</v>
      </c>
      <c r="G20">
        <v>32</v>
      </c>
      <c r="H20" s="3" t="s">
        <v>9</v>
      </c>
      <c r="I20" t="s">
        <v>89</v>
      </c>
      <c r="J20">
        <v>3</v>
      </c>
    </row>
    <row r="21" spans="1:10" x14ac:dyDescent="0.3">
      <c r="A21">
        <v>20</v>
      </c>
      <c r="B21" t="s">
        <v>66</v>
      </c>
      <c r="C21" s="3" t="s">
        <v>27</v>
      </c>
      <c r="D21" s="3">
        <v>120</v>
      </c>
      <c r="E21">
        <f t="shared" si="0"/>
        <v>78</v>
      </c>
      <c r="F21">
        <f t="shared" si="1"/>
        <v>688</v>
      </c>
      <c r="G21">
        <v>32</v>
      </c>
      <c r="H21" s="3" t="s">
        <v>9</v>
      </c>
      <c r="I21" t="s">
        <v>89</v>
      </c>
      <c r="J21">
        <v>3</v>
      </c>
    </row>
    <row r="22" spans="1:10" x14ac:dyDescent="0.3">
      <c r="A22">
        <v>21</v>
      </c>
      <c r="B22" t="s">
        <v>67</v>
      </c>
      <c r="C22" s="3" t="s">
        <v>28</v>
      </c>
      <c r="D22" s="3">
        <v>1.7</v>
      </c>
      <c r="E22">
        <f t="shared" si="0"/>
        <v>82</v>
      </c>
      <c r="F22">
        <f t="shared" si="1"/>
        <v>720</v>
      </c>
      <c r="G22">
        <v>32</v>
      </c>
      <c r="H22" s="3" t="s">
        <v>9</v>
      </c>
      <c r="I22" t="s">
        <v>89</v>
      </c>
      <c r="J22">
        <v>3</v>
      </c>
    </row>
    <row r="23" spans="1:10" x14ac:dyDescent="0.3">
      <c r="A23">
        <v>22</v>
      </c>
      <c r="B23" t="s">
        <v>68</v>
      </c>
      <c r="C23" s="3" t="s">
        <v>29</v>
      </c>
      <c r="D23" s="3">
        <v>0.4</v>
      </c>
      <c r="E23">
        <f t="shared" si="0"/>
        <v>86</v>
      </c>
      <c r="F23">
        <f t="shared" si="1"/>
        <v>752</v>
      </c>
      <c r="G23">
        <v>32</v>
      </c>
      <c r="H23" s="3" t="s">
        <v>9</v>
      </c>
      <c r="I23" t="s">
        <v>89</v>
      </c>
      <c r="J23">
        <v>3</v>
      </c>
    </row>
    <row r="24" spans="1:10" x14ac:dyDescent="0.3">
      <c r="A24">
        <v>23</v>
      </c>
      <c r="B24" t="s">
        <v>69</v>
      </c>
      <c r="C24" s="3" t="s">
        <v>30</v>
      </c>
      <c r="D24" s="3">
        <v>0.8</v>
      </c>
      <c r="E24">
        <f t="shared" si="0"/>
        <v>90</v>
      </c>
      <c r="F24">
        <f t="shared" si="1"/>
        <v>784</v>
      </c>
      <c r="G24">
        <v>32</v>
      </c>
      <c r="H24" s="3" t="s">
        <v>9</v>
      </c>
      <c r="I24" t="s">
        <v>89</v>
      </c>
      <c r="J24">
        <v>3</v>
      </c>
    </row>
    <row r="25" spans="1:10" x14ac:dyDescent="0.3">
      <c r="A25">
        <v>24</v>
      </c>
      <c r="B25" t="s">
        <v>70</v>
      </c>
      <c r="C25" s="3" t="s">
        <v>31</v>
      </c>
      <c r="D25" s="3">
        <v>1.5</v>
      </c>
      <c r="E25">
        <f t="shared" si="0"/>
        <v>94</v>
      </c>
      <c r="F25">
        <f t="shared" si="1"/>
        <v>816</v>
      </c>
      <c r="G25">
        <v>32</v>
      </c>
      <c r="H25" s="3" t="s">
        <v>9</v>
      </c>
      <c r="I25" t="s">
        <v>89</v>
      </c>
      <c r="J25">
        <v>3</v>
      </c>
    </row>
    <row r="26" spans="1:10" x14ac:dyDescent="0.3">
      <c r="A26">
        <v>25</v>
      </c>
      <c r="B26" t="s">
        <v>71</v>
      </c>
      <c r="C26" s="3" t="s">
        <v>32</v>
      </c>
      <c r="D26" s="3">
        <v>2</v>
      </c>
      <c r="E26">
        <f t="shared" si="0"/>
        <v>98</v>
      </c>
      <c r="F26">
        <f t="shared" si="1"/>
        <v>848</v>
      </c>
      <c r="G26">
        <v>32</v>
      </c>
      <c r="H26" s="3" t="s">
        <v>9</v>
      </c>
      <c r="I26" t="s">
        <v>89</v>
      </c>
      <c r="J26">
        <v>3</v>
      </c>
    </row>
    <row r="27" spans="1:10" x14ac:dyDescent="0.3">
      <c r="A27">
        <v>26</v>
      </c>
      <c r="B27" t="s">
        <v>72</v>
      </c>
      <c r="C27" s="3" t="s">
        <v>33</v>
      </c>
      <c r="D27" s="3">
        <v>2.5</v>
      </c>
      <c r="E27">
        <f t="shared" si="0"/>
        <v>102</v>
      </c>
      <c r="F27">
        <f t="shared" si="1"/>
        <v>880</v>
      </c>
      <c r="G27">
        <v>32</v>
      </c>
      <c r="H27" s="3" t="s">
        <v>9</v>
      </c>
      <c r="I27" t="s">
        <v>89</v>
      </c>
      <c r="J27">
        <v>3</v>
      </c>
    </row>
    <row r="28" spans="1:10" x14ac:dyDescent="0.3">
      <c r="A28">
        <v>27</v>
      </c>
      <c r="B28" t="s">
        <v>73</v>
      </c>
      <c r="C28" s="3" t="s">
        <v>34</v>
      </c>
      <c r="D28" s="3">
        <v>2.9</v>
      </c>
      <c r="E28">
        <f t="shared" si="0"/>
        <v>106</v>
      </c>
      <c r="F28">
        <f t="shared" si="1"/>
        <v>912</v>
      </c>
      <c r="G28">
        <v>32</v>
      </c>
      <c r="H28" s="3" t="s">
        <v>9</v>
      </c>
      <c r="I28" t="s">
        <v>89</v>
      </c>
      <c r="J28">
        <v>3</v>
      </c>
    </row>
    <row r="29" spans="1:10" x14ac:dyDescent="0.3">
      <c r="A29">
        <v>28</v>
      </c>
      <c r="B29" t="s">
        <v>74</v>
      </c>
      <c r="C29" s="3" t="s">
        <v>35</v>
      </c>
      <c r="D29" s="3">
        <v>3.2</v>
      </c>
      <c r="E29">
        <f t="shared" si="0"/>
        <v>110</v>
      </c>
      <c r="F29">
        <f t="shared" si="1"/>
        <v>944</v>
      </c>
      <c r="G29">
        <v>32</v>
      </c>
      <c r="H29" s="3" t="s">
        <v>9</v>
      </c>
      <c r="I29" t="s">
        <v>89</v>
      </c>
      <c r="J29">
        <v>3</v>
      </c>
    </row>
    <row r="30" spans="1:10" x14ac:dyDescent="0.3">
      <c r="A30">
        <v>29</v>
      </c>
      <c r="B30" t="s">
        <v>75</v>
      </c>
      <c r="C30" s="3" t="s">
        <v>36</v>
      </c>
      <c r="D30" s="3">
        <v>3.5</v>
      </c>
      <c r="E30">
        <f t="shared" si="0"/>
        <v>114</v>
      </c>
      <c r="F30">
        <f t="shared" si="1"/>
        <v>976</v>
      </c>
      <c r="G30">
        <v>32</v>
      </c>
      <c r="H30" s="3" t="s">
        <v>9</v>
      </c>
      <c r="I30" t="s">
        <v>89</v>
      </c>
      <c r="J30">
        <v>3</v>
      </c>
    </row>
    <row r="31" spans="1:10" x14ac:dyDescent="0.3">
      <c r="A31">
        <v>30</v>
      </c>
      <c r="B31" t="s">
        <v>76</v>
      </c>
      <c r="C31" s="3" t="s">
        <v>37</v>
      </c>
      <c r="D31" s="3">
        <v>280</v>
      </c>
      <c r="E31">
        <f t="shared" si="0"/>
        <v>118</v>
      </c>
      <c r="F31">
        <f t="shared" si="1"/>
        <v>1008</v>
      </c>
      <c r="G31">
        <v>32</v>
      </c>
      <c r="H31" s="3" t="s">
        <v>9</v>
      </c>
      <c r="I31" t="s">
        <v>89</v>
      </c>
      <c r="J31">
        <v>3</v>
      </c>
    </row>
    <row r="32" spans="1:10" x14ac:dyDescent="0.3">
      <c r="A32">
        <v>31</v>
      </c>
      <c r="B32" t="s">
        <v>77</v>
      </c>
      <c r="C32" s="3" t="s">
        <v>38</v>
      </c>
      <c r="D32" s="3">
        <v>250</v>
      </c>
      <c r="E32">
        <f t="shared" si="0"/>
        <v>122</v>
      </c>
      <c r="F32">
        <f t="shared" si="1"/>
        <v>1040</v>
      </c>
      <c r="G32">
        <v>32</v>
      </c>
      <c r="H32" s="3" t="s">
        <v>9</v>
      </c>
      <c r="I32" t="s">
        <v>89</v>
      </c>
      <c r="J32">
        <v>3</v>
      </c>
    </row>
    <row r="33" spans="1:10" x14ac:dyDescent="0.3">
      <c r="A33">
        <v>32</v>
      </c>
      <c r="B33" t="s">
        <v>78</v>
      </c>
      <c r="C33" s="3" t="s">
        <v>39</v>
      </c>
      <c r="D33" s="3">
        <v>1.8</v>
      </c>
      <c r="E33">
        <f t="shared" si="0"/>
        <v>126</v>
      </c>
      <c r="F33">
        <f t="shared" si="1"/>
        <v>1072</v>
      </c>
      <c r="G33">
        <v>32</v>
      </c>
      <c r="H33" s="3" t="s">
        <v>9</v>
      </c>
      <c r="I33" t="s">
        <v>89</v>
      </c>
      <c r="J33">
        <v>3</v>
      </c>
    </row>
    <row r="34" spans="1:10" x14ac:dyDescent="0.3">
      <c r="A34">
        <v>33</v>
      </c>
      <c r="B34" t="s">
        <v>79</v>
      </c>
      <c r="C34" s="3" t="s">
        <v>40</v>
      </c>
      <c r="D34" s="3">
        <v>0.12</v>
      </c>
      <c r="E34">
        <f t="shared" si="0"/>
        <v>130</v>
      </c>
      <c r="F34">
        <f t="shared" si="1"/>
        <v>1104</v>
      </c>
      <c r="G34">
        <v>32</v>
      </c>
      <c r="H34" s="3" t="s">
        <v>9</v>
      </c>
      <c r="I34" t="s">
        <v>89</v>
      </c>
      <c r="J34">
        <v>3</v>
      </c>
    </row>
    <row r="35" spans="1:10" x14ac:dyDescent="0.3">
      <c r="A35">
        <v>34</v>
      </c>
      <c r="B35" t="s">
        <v>80</v>
      </c>
      <c r="C35" s="3" t="s">
        <v>41</v>
      </c>
      <c r="D35" s="3">
        <v>40</v>
      </c>
      <c r="E35">
        <f t="shared" si="0"/>
        <v>134</v>
      </c>
      <c r="F35">
        <f t="shared" si="1"/>
        <v>1136</v>
      </c>
      <c r="G35">
        <v>32</v>
      </c>
      <c r="H35" s="3" t="s">
        <v>9</v>
      </c>
      <c r="I35" t="s">
        <v>89</v>
      </c>
      <c r="J35">
        <v>3</v>
      </c>
    </row>
    <row r="36" spans="1:10" x14ac:dyDescent="0.3">
      <c r="A36">
        <v>35</v>
      </c>
      <c r="B36" t="s">
        <v>81</v>
      </c>
      <c r="C36" s="3" t="s">
        <v>42</v>
      </c>
      <c r="D36" s="3">
        <v>10</v>
      </c>
      <c r="E36">
        <f t="shared" si="0"/>
        <v>138</v>
      </c>
      <c r="F36">
        <f t="shared" si="1"/>
        <v>1168</v>
      </c>
      <c r="G36">
        <v>32</v>
      </c>
      <c r="H36" s="3" t="s">
        <v>9</v>
      </c>
      <c r="I36" t="s">
        <v>89</v>
      </c>
      <c r="J36">
        <v>3</v>
      </c>
    </row>
    <row r="37" spans="1:10" x14ac:dyDescent="0.3">
      <c r="A37">
        <v>36</v>
      </c>
      <c r="B37" t="s">
        <v>82</v>
      </c>
      <c r="C37" s="3" t="s">
        <v>43</v>
      </c>
      <c r="D37" s="3">
        <v>2</v>
      </c>
      <c r="E37">
        <f t="shared" si="0"/>
        <v>142</v>
      </c>
      <c r="F37">
        <f t="shared" si="1"/>
        <v>1200</v>
      </c>
      <c r="G37">
        <v>32</v>
      </c>
      <c r="H37" s="3" t="s">
        <v>9</v>
      </c>
      <c r="I37" t="s">
        <v>89</v>
      </c>
      <c r="J37">
        <v>3</v>
      </c>
    </row>
    <row r="38" spans="1:10" x14ac:dyDescent="0.3">
      <c r="A38">
        <v>37</v>
      </c>
      <c r="B38" t="s">
        <v>83</v>
      </c>
      <c r="C38" s="3" t="s">
        <v>44</v>
      </c>
      <c r="D38" s="3">
        <v>0.3</v>
      </c>
      <c r="E38">
        <f t="shared" si="0"/>
        <v>146</v>
      </c>
      <c r="F38">
        <f t="shared" si="1"/>
        <v>1232</v>
      </c>
      <c r="G38">
        <v>32</v>
      </c>
      <c r="H38" s="3" t="s">
        <v>9</v>
      </c>
      <c r="I38" t="s">
        <v>89</v>
      </c>
      <c r="J38">
        <v>3</v>
      </c>
    </row>
    <row r="39" spans="1:10" x14ac:dyDescent="0.3">
      <c r="A39">
        <v>38</v>
      </c>
      <c r="B39" t="s">
        <v>84</v>
      </c>
      <c r="C39" s="3" t="s">
        <v>45</v>
      </c>
      <c r="D39" s="3">
        <v>0.3</v>
      </c>
      <c r="E39">
        <f t="shared" si="0"/>
        <v>150</v>
      </c>
      <c r="F39">
        <f t="shared" si="1"/>
        <v>1264</v>
      </c>
      <c r="G39">
        <v>32</v>
      </c>
      <c r="H39" s="3" t="s">
        <v>9</v>
      </c>
      <c r="I39" t="s">
        <v>89</v>
      </c>
      <c r="J39">
        <v>3</v>
      </c>
    </row>
    <row r="40" spans="1:10" x14ac:dyDescent="0.3">
      <c r="A40">
        <v>39</v>
      </c>
      <c r="B40" t="s">
        <v>85</v>
      </c>
      <c r="C40" s="3" t="s">
        <v>46</v>
      </c>
      <c r="D40" s="3">
        <v>1</v>
      </c>
      <c r="E40">
        <f t="shared" si="0"/>
        <v>154</v>
      </c>
      <c r="F40">
        <f t="shared" si="1"/>
        <v>1296</v>
      </c>
      <c r="G40">
        <v>32</v>
      </c>
      <c r="H40" s="3" t="s">
        <v>9</v>
      </c>
      <c r="I40" t="s">
        <v>89</v>
      </c>
      <c r="J40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21C-BBBE-4B63-A01A-6D6DD3B2E202}">
  <dimension ref="A1:G9"/>
  <sheetViews>
    <sheetView tabSelected="1" workbookViewId="0">
      <selection activeCell="G3" sqref="G3"/>
    </sheetView>
  </sheetViews>
  <sheetFormatPr defaultRowHeight="14" x14ac:dyDescent="0.3"/>
  <cols>
    <col min="3" max="3" width="22.5" customWidth="1"/>
    <col min="5" max="6" width="14.25" customWidth="1"/>
    <col min="7" max="7" width="36.08203125" customWidth="1"/>
  </cols>
  <sheetData>
    <row r="1" spans="1:7" ht="16.5" x14ac:dyDescent="0.3">
      <c r="A1" s="4" t="s">
        <v>91</v>
      </c>
      <c r="B1" s="4" t="s">
        <v>92</v>
      </c>
      <c r="C1" s="4" t="s">
        <v>93</v>
      </c>
      <c r="D1" s="4" t="s">
        <v>94</v>
      </c>
      <c r="E1" s="6" t="s">
        <v>115</v>
      </c>
      <c r="F1" s="6" t="s">
        <v>116</v>
      </c>
      <c r="G1" s="4" t="s">
        <v>95</v>
      </c>
    </row>
    <row r="2" spans="1:7" x14ac:dyDescent="0.3">
      <c r="A2" s="5" t="s">
        <v>96</v>
      </c>
      <c r="B2" s="5" t="s">
        <v>97</v>
      </c>
      <c r="C2" s="5" t="s">
        <v>7</v>
      </c>
      <c r="D2" s="5" t="s">
        <v>98</v>
      </c>
      <c r="E2" s="5" t="s">
        <v>99</v>
      </c>
      <c r="F2" s="5" t="s">
        <v>106</v>
      </c>
      <c r="G2" s="5"/>
    </row>
    <row r="3" spans="1:7" x14ac:dyDescent="0.3">
      <c r="A3" s="5"/>
      <c r="B3" s="5"/>
      <c r="C3" s="5" t="s">
        <v>100</v>
      </c>
      <c r="D3" s="5" t="s">
        <v>98</v>
      </c>
      <c r="E3" s="5" t="s">
        <v>101</v>
      </c>
      <c r="F3" s="5" t="s">
        <v>106</v>
      </c>
      <c r="G3" s="5"/>
    </row>
    <row r="4" spans="1:7" x14ac:dyDescent="0.3">
      <c r="A4" s="5"/>
      <c r="B4" s="5"/>
      <c r="C4" s="5" t="s">
        <v>109</v>
      </c>
      <c r="D4" s="5">
        <v>2</v>
      </c>
      <c r="E4" s="5" t="s">
        <v>111</v>
      </c>
      <c r="F4" s="5" t="s">
        <v>106</v>
      </c>
      <c r="G4" s="5"/>
    </row>
    <row r="5" spans="1:7" x14ac:dyDescent="0.3">
      <c r="A5" s="5"/>
      <c r="B5" s="5"/>
      <c r="C5" s="5" t="s">
        <v>110</v>
      </c>
      <c r="D5" s="5">
        <v>14</v>
      </c>
      <c r="E5">
        <v>0</v>
      </c>
      <c r="F5" s="5" t="s">
        <v>112</v>
      </c>
      <c r="G5" s="5" t="s">
        <v>114</v>
      </c>
    </row>
    <row r="6" spans="1:7" x14ac:dyDescent="0.3">
      <c r="A6" s="5"/>
      <c r="B6" s="5"/>
      <c r="C6" s="5" t="s">
        <v>102</v>
      </c>
      <c r="D6" s="5" t="s">
        <v>98</v>
      </c>
      <c r="F6" s="5" t="s">
        <v>113</v>
      </c>
      <c r="G6" s="5" t="s">
        <v>103</v>
      </c>
    </row>
    <row r="7" spans="1:7" x14ac:dyDescent="0.3">
      <c r="A7" s="5"/>
      <c r="B7" s="5"/>
      <c r="C7" s="5" t="s">
        <v>90</v>
      </c>
      <c r="D7" s="5" t="s">
        <v>98</v>
      </c>
      <c r="E7" s="5" t="s">
        <v>117</v>
      </c>
      <c r="F7" s="5" t="s">
        <v>106</v>
      </c>
      <c r="G7" s="5"/>
    </row>
    <row r="8" spans="1:7" x14ac:dyDescent="0.3">
      <c r="A8" s="5" t="s">
        <v>96</v>
      </c>
      <c r="B8" s="5" t="s">
        <v>104</v>
      </c>
      <c r="C8" s="5" t="s">
        <v>107</v>
      </c>
      <c r="D8" s="5">
        <v>32</v>
      </c>
      <c r="E8" s="5"/>
      <c r="F8" s="5"/>
      <c r="G8" s="5"/>
    </row>
    <row r="9" spans="1:7" ht="28" x14ac:dyDescent="0.3">
      <c r="A9" s="5"/>
      <c r="B9" s="5"/>
      <c r="C9" s="5" t="s">
        <v>105</v>
      </c>
      <c r="D9" s="5"/>
      <c r="E9" s="5"/>
      <c r="F9" s="5"/>
      <c r="G9" s="5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固定地址参数注入2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2026-06-10T12:24:50Z</dcterms:modified>
</cp:coreProperties>
</file>